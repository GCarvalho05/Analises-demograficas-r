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arv\Documents\Atv3_Topicos_em_Demografia\"/>
    </mc:Choice>
  </mc:AlternateContent>
  <xr:revisionPtr revIDLastSave="0" documentId="13_ncr:1_{66C74980-83CA-433F-AA61-B1136510E64D}" xr6:coauthVersionLast="47" xr6:coauthVersionMax="47" xr10:uidLastSave="{00000000-0000-0000-0000-000000000000}"/>
  <bookViews>
    <workbookView xWindow="-108" yWindow="-108" windowWidth="23256" windowHeight="12720" xr2:uid="{F3FFE310-8A5C-4216-BF82-63DCF5A880E8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 s="1"/>
  <c r="H6" i="1"/>
  <c r="H7" i="1"/>
  <c r="I5" i="1"/>
  <c r="H4" i="1"/>
  <c r="I3" i="1"/>
  <c r="H3" i="1"/>
</calcChain>
</file>

<file path=xl/sharedStrings.xml><?xml version="1.0" encoding="utf-8"?>
<sst xmlns="http://schemas.openxmlformats.org/spreadsheetml/2006/main" count="25" uniqueCount="22">
  <si>
    <t>EUA</t>
  </si>
  <si>
    <t>Venezuela </t>
  </si>
  <si>
    <t>Grupo Etário</t>
  </si>
  <si>
    <t>TEM</t>
  </si>
  <si>
    <t>0-4</t>
  </si>
  <si>
    <t>15-24</t>
  </si>
  <si>
    <t>25-34</t>
  </si>
  <si>
    <t>35-44</t>
  </si>
  <si>
    <t>45-54</t>
  </si>
  <si>
    <t>55-64</t>
  </si>
  <si>
    <t>65-74</t>
  </si>
  <si>
    <t>75-84</t>
  </si>
  <si>
    <t>85+</t>
  </si>
  <si>
    <t>5-9</t>
  </si>
  <si>
    <t>POP(%)</t>
  </si>
  <si>
    <t xml:space="preserve"> </t>
  </si>
  <si>
    <t>Venezuela</t>
  </si>
  <si>
    <t>TBM</t>
  </si>
  <si>
    <t>TBM(Pop x EUA)</t>
  </si>
  <si>
    <t>TBM(Pop x Ven)</t>
  </si>
  <si>
    <t>SMR</t>
  </si>
  <si>
    <t>TBMind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</si>
</sst>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right" vertical="center"/>
    </xf>
    <xf numFmtId="0" fontId="0" fillId="0" borderId="0" xfId="0" quotePrefix="1"/>
    <xf numFmtId="164" fontId="0" fillId="3" borderId="7" xfId="0" applyNumberFormat="1" applyFill="1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1" fillId="2" borderId="8" xfId="0" applyFont="1" applyFill="1" applyBorder="1" applyAlignment="1">
      <alignment vertical="center"/>
    </xf>
    <xf numFmtId="2" fontId="0" fillId="3" borderId="10" xfId="0" applyNumberFormat="1" applyFill="1" applyBorder="1"/>
    <xf numFmtId="2" fontId="0" fillId="3" borderId="12" xfId="0" applyNumberFormat="1" applyFill="1" applyBorder="1"/>
    <xf numFmtId="2" fontId="0" fillId="0" borderId="12" xfId="0" applyNumberFormat="1" applyBorder="1"/>
    <xf numFmtId="164" fontId="0" fillId="0" borderId="12" xfId="0" applyNumberFormat="1" applyBorder="1"/>
    <xf numFmtId="164" fontId="0" fillId="0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8419-37C6-41EA-A947-DE5D9C55ED69}">
  <dimension ref="A1:I14"/>
  <sheetViews>
    <sheetView tabSelected="1" workbookViewId="0">
      <selection activeCell="I15" sqref="I15"/>
    </sheetView>
  </sheetViews>
  <sheetFormatPr defaultRowHeight="14.4" x14ac:dyDescent="0.3"/>
  <cols>
    <col min="1" max="1" width="10.109375" bestFit="1" customWidth="1"/>
    <col min="2" max="2" width="6.21875" bestFit="1" customWidth="1"/>
    <col min="3" max="3" width="4.77734375" bestFit="1" customWidth="1"/>
    <col min="4" max="4" width="6.21875" bestFit="1" customWidth="1"/>
    <col min="5" max="5" width="6.44140625" bestFit="1" customWidth="1"/>
    <col min="7" max="7" width="14.5546875" bestFit="1" customWidth="1"/>
    <col min="9" max="9" width="9.33203125" bestFit="1" customWidth="1"/>
  </cols>
  <sheetData>
    <row r="1" spans="1:9" ht="15" thickBot="1" x14ac:dyDescent="0.35">
      <c r="A1" s="1"/>
      <c r="B1" s="5" t="s">
        <v>0</v>
      </c>
      <c r="C1" s="6"/>
      <c r="D1" s="7" t="s">
        <v>1</v>
      </c>
      <c r="E1" s="6"/>
    </row>
    <row r="2" spans="1:9" ht="15" thickBot="1" x14ac:dyDescent="0.35">
      <c r="A2" s="2" t="s">
        <v>2</v>
      </c>
      <c r="B2" s="3" t="s">
        <v>14</v>
      </c>
      <c r="C2" s="3" t="s">
        <v>3</v>
      </c>
      <c r="D2" s="3" t="s">
        <v>14</v>
      </c>
      <c r="E2" s="3" t="s">
        <v>3</v>
      </c>
      <c r="G2" s="15"/>
      <c r="H2" s="13" t="s">
        <v>0</v>
      </c>
      <c r="I2" s="14" t="s">
        <v>16</v>
      </c>
    </row>
    <row r="3" spans="1:9" ht="15" thickBot="1" x14ac:dyDescent="0.35">
      <c r="A3" s="4" t="s">
        <v>4</v>
      </c>
      <c r="B3" s="8">
        <v>6.8</v>
      </c>
      <c r="C3" s="8">
        <v>1.7</v>
      </c>
      <c r="D3" s="8">
        <v>11.1</v>
      </c>
      <c r="E3" s="8">
        <v>3.5</v>
      </c>
      <c r="G3" s="16" t="s">
        <v>17</v>
      </c>
      <c r="H3" s="17">
        <f>SUMPRODUCT(B3:B12*C3:C12)/100</f>
        <v>8.4529999999999994</v>
      </c>
      <c r="I3" s="18">
        <f>SUMPRODUCT(D3:D12*E3:E12)/100</f>
        <v>4.1269</v>
      </c>
    </row>
    <row r="4" spans="1:9" ht="15" thickBot="1" x14ac:dyDescent="0.35">
      <c r="A4" s="4" t="s">
        <v>13</v>
      </c>
      <c r="B4" s="8">
        <v>14.2</v>
      </c>
      <c r="C4" s="8">
        <v>0.2</v>
      </c>
      <c r="D4" s="8">
        <v>21.6</v>
      </c>
      <c r="E4" s="8">
        <v>0.3</v>
      </c>
      <c r="G4" s="15" t="s">
        <v>19</v>
      </c>
      <c r="H4" s="17">
        <f>SUMPRODUCT(D3:D12*C3:C12)/100</f>
        <v>3.6261000000000001</v>
      </c>
      <c r="I4" s="14"/>
    </row>
    <row r="5" spans="1:9" ht="15" thickBot="1" x14ac:dyDescent="0.35">
      <c r="A5" s="4" t="s">
        <v>5</v>
      </c>
      <c r="B5" s="8">
        <v>14.1</v>
      </c>
      <c r="C5" s="8">
        <v>0.8</v>
      </c>
      <c r="D5" s="8">
        <v>19.399999999999999</v>
      </c>
      <c r="E5" s="8">
        <v>1.8</v>
      </c>
      <c r="G5" s="15" t="s">
        <v>18</v>
      </c>
      <c r="H5" s="12"/>
      <c r="I5" s="19">
        <f>SUMPRODUCT(B3:B12*E3:E12)/100</f>
        <v>8.5337999999999994</v>
      </c>
    </row>
    <row r="6" spans="1:9" ht="15" thickBot="1" x14ac:dyDescent="0.35">
      <c r="A6" s="4" t="s">
        <v>6</v>
      </c>
      <c r="B6" s="8">
        <v>13.8</v>
      </c>
      <c r="C6" s="8">
        <v>1</v>
      </c>
      <c r="D6" s="8">
        <v>15.6</v>
      </c>
      <c r="E6" s="8">
        <v>2.1</v>
      </c>
      <c r="G6" s="15" t="s">
        <v>20</v>
      </c>
      <c r="H6" s="21">
        <f>H3/I5</f>
        <v>0.9905317677939488</v>
      </c>
      <c r="I6" s="20">
        <f>I3/H4</f>
        <v>1.138109814952704</v>
      </c>
    </row>
    <row r="7" spans="1:9" ht="15" thickBot="1" x14ac:dyDescent="0.35">
      <c r="A7" s="4" t="s">
        <v>7</v>
      </c>
      <c r="B7" s="8">
        <v>15.6</v>
      </c>
      <c r="C7" s="8">
        <v>2</v>
      </c>
      <c r="D7" s="8">
        <v>12.9</v>
      </c>
      <c r="E7" s="8">
        <v>2.4</v>
      </c>
      <c r="G7" s="15" t="s">
        <v>21</v>
      </c>
      <c r="H7" s="10">
        <f>H6*I3</f>
        <v>4.0878255525088472</v>
      </c>
      <c r="I7" s="11">
        <f>I6*H3</f>
        <v>9.6204422657952069</v>
      </c>
    </row>
    <row r="8" spans="1:9" ht="15" thickBot="1" x14ac:dyDescent="0.35">
      <c r="A8" s="4" t="s">
        <v>8</v>
      </c>
      <c r="B8" s="8">
        <v>13.9</v>
      </c>
      <c r="C8" s="8">
        <v>4.3</v>
      </c>
      <c r="D8" s="8">
        <v>9.1999999999999993</v>
      </c>
      <c r="E8" s="8">
        <v>4.5</v>
      </c>
    </row>
    <row r="9" spans="1:9" ht="15" thickBot="1" x14ac:dyDescent="0.35">
      <c r="A9" s="4" t="s">
        <v>9</v>
      </c>
      <c r="B9" s="8">
        <v>9.1999999999999993</v>
      </c>
      <c r="C9" s="8">
        <v>9.5</v>
      </c>
      <c r="D9" s="8">
        <v>5.5</v>
      </c>
      <c r="E9" s="8">
        <v>8.8000000000000007</v>
      </c>
    </row>
    <row r="10" spans="1:9" ht="15" thickBot="1" x14ac:dyDescent="0.35">
      <c r="A10" s="4" t="s">
        <v>10</v>
      </c>
      <c r="B10" s="8">
        <v>6.3</v>
      </c>
      <c r="C10" s="8">
        <v>23.1</v>
      </c>
      <c r="D10" s="8">
        <v>3.2</v>
      </c>
      <c r="E10" s="8">
        <v>21.5</v>
      </c>
    </row>
    <row r="11" spans="1:9" ht="15" thickBot="1" x14ac:dyDescent="0.35">
      <c r="A11" s="4" t="s">
        <v>11</v>
      </c>
      <c r="B11" s="8">
        <v>4.4000000000000004</v>
      </c>
      <c r="C11" s="8">
        <v>55.6</v>
      </c>
      <c r="D11" s="8">
        <v>1.3</v>
      </c>
      <c r="E11" s="8">
        <v>52.4</v>
      </c>
      <c r="I11" s="9"/>
    </row>
    <row r="12" spans="1:9" ht="15" thickBot="1" x14ac:dyDescent="0.35">
      <c r="A12" s="4" t="s">
        <v>12</v>
      </c>
      <c r="B12" s="8">
        <v>1.6</v>
      </c>
      <c r="C12" s="8">
        <v>148.30000000000001</v>
      </c>
      <c r="D12" s="8">
        <v>0.3</v>
      </c>
      <c r="E12" s="8">
        <v>140</v>
      </c>
    </row>
    <row r="14" spans="1:9" x14ac:dyDescent="0.3">
      <c r="H14" t="s">
        <v>15</v>
      </c>
    </row>
  </sheetData>
  <mergeCells count="2">
    <mergeCell ref="B1:C1"/>
    <mergeCell ref="D1:E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</dc:creator>
  <cp:lastModifiedBy>Gabriel Carvalho</cp:lastModifiedBy>
  <dcterms:created xsi:type="dcterms:W3CDTF">2026-05-13T23:57:46Z</dcterms:created>
  <dcterms:modified xsi:type="dcterms:W3CDTF">2026-05-14T01:03:40Z</dcterms:modified>
</cp:coreProperties>
</file>